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otary-os\reference\"/>
    </mc:Choice>
  </mc:AlternateContent>
  <xr:revisionPtr revIDLastSave="0" documentId="8_{901988AD-FB2B-4218-84CD-B923384BC30E}" xr6:coauthVersionLast="47" xr6:coauthVersionMax="47" xr10:uidLastSave="{00000000-0000-0000-0000-000000000000}"/>
  <bookViews>
    <workbookView xWindow="12915" yWindow="120" windowWidth="15780" windowHeight="15360" xr2:uid="{00000000-000D-0000-FFFF-FFFF00000000}"/>
  </bookViews>
  <sheets>
    <sheet name="工作表1" sheetId="1" r:id="rId1"/>
    <sheet name="工作表2" sheetId="2" r:id="rId2"/>
    <sheet name="工作表3" sheetId="3" r:id="rId3"/>
  </sheets>
  <definedNames>
    <definedName name="_Toc37421289" localSheetId="0">工作表1!$L$25</definedName>
    <definedName name="_Toc37421293" localSheetId="0">工作表1!$D$2</definedName>
    <definedName name="_Toc37421294" localSheetId="0">工作表1!$D$15</definedName>
    <definedName name="_xlnm.Print_Area" localSheetId="0">工作表1!$C$2:$F$52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 l="1"/>
  <c r="E6" i="1"/>
  <c r="E41" i="1"/>
  <c r="E40" i="1" l="1"/>
  <c r="E11" i="1" l="1"/>
  <c r="E23" i="1"/>
  <c r="E24" i="1" l="1"/>
  <c r="E19" i="1"/>
  <c r="E18" i="1"/>
  <c r="E17" i="1" s="1"/>
  <c r="E4" i="1" l="1"/>
  <c r="E13" i="1" s="1"/>
  <c r="E29" i="1"/>
  <c r="E33" i="1" l="1"/>
  <c r="E52" i="1" s="1"/>
  <c r="E47" i="1"/>
  <c r="E46" i="1" s="1"/>
</calcChain>
</file>

<file path=xl/sharedStrings.xml><?xml version="1.0" encoding="utf-8"?>
<sst xmlns="http://schemas.openxmlformats.org/spreadsheetml/2006/main" count="76" uniqueCount="72">
  <si>
    <t>預算</t>
  </si>
  <si>
    <t>附註</t>
  </si>
  <si>
    <t>1.社費收入</t>
  </si>
  <si>
    <t>社友4人x 15,000=60,000</t>
  </si>
  <si>
    <t>2.捐款IOU收入</t>
  </si>
  <si>
    <t>合計</t>
  </si>
  <si>
    <t>支出科目</t>
  </si>
  <si>
    <t>1.辦事處經費</t>
  </si>
  <si>
    <t>人事費</t>
  </si>
  <si>
    <t>勞退準備金</t>
  </si>
  <si>
    <t>印刷費</t>
  </si>
  <si>
    <t>文具用品費</t>
  </si>
  <si>
    <t>1000x12月=12,000</t>
  </si>
  <si>
    <t>郵電網路費</t>
  </si>
  <si>
    <t>2000x12月=24,000</t>
  </si>
  <si>
    <t>雜項</t>
  </si>
  <si>
    <t>電腦、耗材及設備等費用</t>
  </si>
  <si>
    <t>扶輪用品</t>
  </si>
  <si>
    <t>場租費用</t>
  </si>
  <si>
    <r>
      <t>2.</t>
    </r>
    <r>
      <rPr>
        <b/>
        <sz val="13"/>
        <color theme="1"/>
        <rFont val="微軟正黑體"/>
        <family val="2"/>
        <charset val="136"/>
      </rPr>
      <t>會費</t>
    </r>
  </si>
  <si>
    <t>社務講習會</t>
  </si>
  <si>
    <t>社秘出席餐費</t>
  </si>
  <si>
    <r>
      <t>3.</t>
    </r>
    <r>
      <rPr>
        <b/>
        <sz val="13"/>
        <color theme="1"/>
        <rFont val="微軟正黑體"/>
        <family val="2"/>
        <charset val="136"/>
      </rPr>
      <t>行政管理費用</t>
    </r>
  </si>
  <si>
    <t>節目費</t>
  </si>
  <si>
    <t>康樂費</t>
  </si>
  <si>
    <t>手冊、社刊印刷費</t>
  </si>
  <si>
    <t>膳食費</t>
  </si>
  <si>
    <t>理監事會議膳食費</t>
  </si>
  <si>
    <t>體育費</t>
  </si>
  <si>
    <t>4.服務計劃費用</t>
  </si>
  <si>
    <t>社區服務費</t>
  </si>
  <si>
    <t>國際服務費</t>
  </si>
  <si>
    <t>職業服務費</t>
  </si>
  <si>
    <t>5.社員委員計劃費用</t>
  </si>
  <si>
    <t>扶輪家庭費</t>
  </si>
  <si>
    <r>
      <t>6.</t>
    </r>
    <r>
      <rPr>
        <b/>
        <sz val="13"/>
        <color theme="1"/>
        <rFont val="微軟正黑體"/>
        <family val="2"/>
        <charset val="136"/>
      </rPr>
      <t>扶輪基金計劃費用</t>
    </r>
  </si>
  <si>
    <t>8.內輪會費用</t>
  </si>
  <si>
    <t>9.預備金</t>
  </si>
  <si>
    <t>常年社費</t>
    <phoneticPr fontId="7" type="noConversion"/>
  </si>
  <si>
    <t>入社費</t>
    <phoneticPr fontId="7" type="noConversion"/>
  </si>
  <si>
    <t>特別捐款</t>
    <phoneticPr fontId="7" type="noConversion"/>
  </si>
  <si>
    <t>新世代青年(RYLA)</t>
    <phoneticPr fontId="7" type="noConversion"/>
  </si>
  <si>
    <t>3.例會餐費</t>
    <phoneticPr fontId="7" type="noConversion"/>
  </si>
  <si>
    <t>4.慶典紅箱</t>
    <phoneticPr fontId="7" type="noConversion"/>
  </si>
  <si>
    <t>5.利息收入</t>
    <phoneticPr fontId="7" type="noConversion"/>
  </si>
  <si>
    <t>30人x36次x800=864,000</t>
    <phoneticPr fontId="7" type="noConversion"/>
  </si>
  <si>
    <t>勞保費</t>
    <phoneticPr fontId="7" type="noConversion"/>
  </si>
  <si>
    <t>健保費</t>
    <phoneticPr fontId="7" type="noConversion"/>
  </si>
  <si>
    <t>地區年會費</t>
    <phoneticPr fontId="7" type="noConversion"/>
  </si>
  <si>
    <t>1.平日眷聯活動費：1000X12次＝12,000元
2.特別日眷聯活動費：10,000X4＝40,000元
3.慶生禮物: 社友&amp;夫人：500x(25*2)=25,000元
4.結婚週年禮券：800x25=20,000元
5.蛋糕及紅酒: (1500+1800)x12=39,600元</t>
    <phoneticPr fontId="7" type="noConversion"/>
  </si>
  <si>
    <t>7.公共形象費</t>
    <phoneticPr fontId="7" type="noConversion"/>
  </si>
  <si>
    <t>2,178x12月=26,136</t>
    <phoneticPr fontId="7" type="noConversion"/>
  </si>
  <si>
    <t>1,757x12月=21,084</t>
    <phoneticPr fontId="7" type="noConversion"/>
  </si>
  <si>
    <t>12月x3(每月例會平均數)x14,600
=525,600</t>
    <phoneticPr fontId="7" type="noConversion"/>
  </si>
  <si>
    <t>1.講師紀念品（禮物+社旗）
   3,000X20＝60,000元
2.社友職業介紹不支講師費。</t>
    <phoneticPr fontId="7" type="noConversion"/>
  </si>
  <si>
    <t xml:space="preserve">理監事會議：8,000 X 5次=40,000 </t>
    <phoneticPr fontId="7" type="noConversion"/>
  </si>
  <si>
    <t>35,000x14月=490,000
(中秋、端午各半個月，年終1個月)</t>
    <phoneticPr fontId="7" type="noConversion"/>
  </si>
  <si>
    <t>3,227x12月=38,724</t>
    <phoneticPr fontId="7" type="noConversion"/>
  </si>
  <si>
    <t>1337元x12月=16,044</t>
    <phoneticPr fontId="7" type="noConversion"/>
  </si>
  <si>
    <t>兄弟社-台北晨光社互訪補助。</t>
    <phoneticPr fontId="7" type="noConversion"/>
  </si>
  <si>
    <t>地區講習會等報名費、社當及其秘書參加扶輪領導學院報名費。</t>
    <phoneticPr fontId="7" type="noConversion"/>
  </si>
  <si>
    <t>6.其他收入</t>
    <phoneticPr fontId="7" type="noConversion"/>
  </si>
  <si>
    <r>
      <t>高雄晨光扶輪社 第十二屆 (2026-2027年度)</t>
    </r>
    <r>
      <rPr>
        <b/>
        <sz val="16"/>
        <color rgb="FF0070C0"/>
        <rFont val="微軟正黑體"/>
        <family val="2"/>
        <charset val="136"/>
      </rPr>
      <t>收入</t>
    </r>
    <r>
      <rPr>
        <b/>
        <sz val="16"/>
        <rFont val="微軟正黑體"/>
        <family val="2"/>
        <charset val="136"/>
      </rPr>
      <t>預算</t>
    </r>
    <phoneticPr fontId="7" type="noConversion"/>
  </si>
  <si>
    <r>
      <t>高雄晨光扶輪社 第十二屆 2026-2027年度</t>
    </r>
    <r>
      <rPr>
        <b/>
        <sz val="16"/>
        <color rgb="FFFF0000"/>
        <rFont val="微軟正黑體"/>
        <family val="2"/>
        <charset val="136"/>
      </rPr>
      <t>支出</t>
    </r>
    <r>
      <rPr>
        <b/>
        <sz val="16"/>
        <rFont val="微軟正黑體"/>
        <family val="2"/>
        <charset val="136"/>
      </rPr>
      <t>預算</t>
    </r>
    <phoneticPr fontId="7" type="noConversion"/>
  </si>
  <si>
    <t>2000x12月=24,000</t>
    <phoneticPr fontId="7" type="noConversion"/>
  </si>
  <si>
    <t>收入科目</t>
    <phoneticPr fontId="7" type="noConversion"/>
  </si>
  <si>
    <t>1.社員手冊100X100=10,000元
2.電子版、網路相關=5,000元
3.通訊錄、社友名片，估5,500元</t>
    <phoneticPr fontId="7" type="noConversion"/>
  </si>
  <si>
    <t>社友29人x 12 x 2,000=696,000</t>
    <phoneticPr fontId="7" type="noConversion"/>
  </si>
  <si>
    <t>更新社內筆電</t>
    <phoneticPr fontId="7" type="noConversion"/>
  </si>
  <si>
    <t>青少年交換(RYE)</t>
    <phoneticPr fontId="7" type="noConversion"/>
  </si>
  <si>
    <t>社　長         1人x 12 x 2,000=24,000
秘　書         1人x 12 x 1,000=12,000
社長當選人  1人x 12 x 1,000=12,000
理監事         9人x 12 x   800=86,400
社　友       17人x 12 x   500=102,000</t>
    <phoneticPr fontId="7" type="noConversion"/>
  </si>
  <si>
    <t>1.捐血活動 40,000元。
2.配合總監辦事處辦理社區服務 80,000元。
(家庭日、老樹重生、AI機器人、送高美館到偏鄉，各2萬元)
3.友社社區服務配合款 50,000元。
4.龍目國小音樂教育深耕計劃 150,000元
5.『120公分的角度』 社區服務計劃100,000元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</si>
</sst>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6"/>
      <color rgb="FF0070C0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3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3"/>
      <color rgb="FF0070C0"/>
      <name val="微軟正黑體"/>
      <family val="2"/>
      <charset val="136"/>
    </font>
    <font>
      <sz val="13"/>
      <color rgb="FF0070C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2"/>
      <color rgb="FF0070C0"/>
      <name val="新細明體"/>
      <family val="2"/>
      <charset val="136"/>
      <scheme val="minor"/>
    </font>
    <font>
      <b/>
      <sz val="16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3"/>
      <name val="微軟正黑體"/>
      <family val="2"/>
      <charset val="136"/>
    </font>
    <font>
      <b/>
      <sz val="13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3" fontId="8" fillId="0" borderId="4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0" fontId="0" fillId="0" borderId="5" xfId="0" applyBorder="1">
      <alignment vertical="center"/>
    </xf>
    <xf numFmtId="0" fontId="3" fillId="0" borderId="3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14" fillId="0" borderId="1" xfId="0" applyFont="1" applyBorder="1" applyAlignment="1">
      <alignment vertical="center" wrapText="1"/>
    </xf>
    <xf numFmtId="3" fontId="0" fillId="0" borderId="0" xfId="0" applyNumberFormat="1">
      <alignment vertical="center"/>
    </xf>
    <xf numFmtId="3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top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3" fontId="2" fillId="0" borderId="0" xfId="0" applyNumberFormat="1" applyFont="1">
      <alignment vertical="center"/>
    </xf>
    <xf numFmtId="0" fontId="3" fillId="0" borderId="2" xfId="0" applyFont="1" applyBorder="1" applyAlignment="1">
      <alignment horizontal="left" vertical="top" wrapText="1"/>
    </xf>
    <xf numFmtId="3" fontId="14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5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>
      <alignment vertical="center"/>
    </xf>
    <xf numFmtId="0" fontId="15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EF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</xdr:colOff>
      <xdr:row>1</xdr:row>
      <xdr:rowOff>60960</xdr:rowOff>
    </xdr:from>
    <xdr:to>
      <xdr:col>9</xdr:col>
      <xdr:colOff>414614</xdr:colOff>
      <xdr:row>2</xdr:row>
      <xdr:rowOff>170721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1760" y="419100"/>
          <a:ext cx="993734" cy="384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H58"/>
  <sheetViews>
    <sheetView showGridLines="0" tabSelected="1" zoomScaleNormal="100" workbookViewId="0">
      <selection activeCell="J49" sqref="J49"/>
    </sheetView>
  </sheetViews>
  <sheetFormatPr defaultColWidth="8.875" defaultRowHeight="16.5" x14ac:dyDescent="0.25"/>
  <cols>
    <col min="3" max="3" width="2.5" customWidth="1"/>
    <col min="4" max="4" width="22.375" customWidth="1"/>
    <col min="5" max="5" width="13.5" bestFit="1" customWidth="1"/>
    <col min="6" max="6" width="53.5" customWidth="1"/>
  </cols>
  <sheetData>
    <row r="1" spans="3:8" ht="28.15" customHeight="1" x14ac:dyDescent="0.25"/>
    <row r="2" spans="3:8" ht="20.25" x14ac:dyDescent="0.25">
      <c r="D2" s="38" t="s">
        <v>62</v>
      </c>
      <c r="E2" s="39"/>
      <c r="F2" s="39"/>
    </row>
    <row r="3" spans="3:8" ht="17.45" customHeight="1" x14ac:dyDescent="0.25">
      <c r="C3" s="30"/>
      <c r="D3" s="15" t="s">
        <v>65</v>
      </c>
      <c r="E3" s="1" t="s">
        <v>0</v>
      </c>
      <c r="F3" s="1" t="s">
        <v>1</v>
      </c>
    </row>
    <row r="4" spans="3:8" ht="17.25" x14ac:dyDescent="0.25">
      <c r="C4" s="32" t="s">
        <v>2</v>
      </c>
      <c r="D4" s="33"/>
      <c r="E4" s="2">
        <f>SUM(E5:E7)</f>
        <v>992400</v>
      </c>
      <c r="F4" s="3"/>
    </row>
    <row r="5" spans="3:8" ht="17.25" x14ac:dyDescent="0.25">
      <c r="C5" s="4"/>
      <c r="D5" s="5" t="s">
        <v>39</v>
      </c>
      <c r="E5" s="6">
        <v>60000</v>
      </c>
      <c r="F5" s="3" t="s">
        <v>3</v>
      </c>
    </row>
    <row r="6" spans="3:8" ht="17.25" x14ac:dyDescent="0.25">
      <c r="C6" s="4"/>
      <c r="D6" s="5" t="s">
        <v>38</v>
      </c>
      <c r="E6" s="6">
        <f>29*12*2000</f>
        <v>696000</v>
      </c>
      <c r="F6" s="3" t="s">
        <v>67</v>
      </c>
    </row>
    <row r="7" spans="3:8" ht="95.45" customHeight="1" x14ac:dyDescent="0.25">
      <c r="C7" s="4"/>
      <c r="D7" s="5" t="s">
        <v>40</v>
      </c>
      <c r="E7" s="6">
        <f>17*12*500+9*12*800+12000*2+24000</f>
        <v>236400</v>
      </c>
      <c r="F7" s="3" t="s">
        <v>70</v>
      </c>
    </row>
    <row r="8" spans="3:8" ht="34.5" x14ac:dyDescent="0.25">
      <c r="C8" s="32" t="s">
        <v>4</v>
      </c>
      <c r="D8" s="33"/>
      <c r="E8" s="2">
        <f>14600*36</f>
        <v>525600</v>
      </c>
      <c r="F8" s="3" t="s">
        <v>53</v>
      </c>
      <c r="H8" s="23"/>
    </row>
    <row r="9" spans="3:8" ht="17.25" x14ac:dyDescent="0.25">
      <c r="C9" s="32" t="s">
        <v>42</v>
      </c>
      <c r="D9" s="33"/>
      <c r="E9" s="2">
        <v>864000</v>
      </c>
      <c r="F9" s="3" t="s">
        <v>45</v>
      </c>
    </row>
    <row r="10" spans="3:8" ht="17.25" x14ac:dyDescent="0.25">
      <c r="C10" s="32" t="s">
        <v>43</v>
      </c>
      <c r="D10" s="33"/>
      <c r="E10" s="8"/>
      <c r="F10" s="3"/>
      <c r="G10" s="23"/>
    </row>
    <row r="11" spans="3:8" ht="17.25" x14ac:dyDescent="0.25">
      <c r="C11" s="32" t="s">
        <v>44</v>
      </c>
      <c r="D11" s="33"/>
      <c r="E11" s="9">
        <f>1159*12+2136</f>
        <v>16044</v>
      </c>
      <c r="F11" s="3" t="s">
        <v>58</v>
      </c>
    </row>
    <row r="12" spans="3:8" ht="17.25" x14ac:dyDescent="0.25">
      <c r="C12" s="40" t="s">
        <v>61</v>
      </c>
      <c r="D12" s="41"/>
      <c r="E12" s="31">
        <v>110000</v>
      </c>
      <c r="F12" s="3"/>
    </row>
    <row r="13" spans="3:8" ht="17.25" x14ac:dyDescent="0.25">
      <c r="C13" s="36" t="s">
        <v>5</v>
      </c>
      <c r="D13" s="37"/>
      <c r="E13" s="2">
        <f>SUM(E4+E8+E9+E11+E12)</f>
        <v>2508044</v>
      </c>
      <c r="F13" s="6"/>
    </row>
    <row r="14" spans="3:8" ht="60.6" customHeight="1" x14ac:dyDescent="0.25">
      <c r="C14" s="10"/>
      <c r="D14" s="11"/>
      <c r="E14" s="12"/>
      <c r="F14" s="13"/>
    </row>
    <row r="15" spans="3:8" ht="20.25" x14ac:dyDescent="0.25">
      <c r="C15" s="14"/>
      <c r="D15" s="38" t="s">
        <v>63</v>
      </c>
      <c r="E15" s="39"/>
      <c r="F15" s="39"/>
    </row>
    <row r="16" spans="3:8" ht="17.25" x14ac:dyDescent="0.25">
      <c r="C16" s="4"/>
      <c r="D16" s="15" t="s">
        <v>6</v>
      </c>
      <c r="E16" s="1" t="s">
        <v>0</v>
      </c>
      <c r="F16" s="1" t="s">
        <v>1</v>
      </c>
    </row>
    <row r="17" spans="3:6" ht="17.25" x14ac:dyDescent="0.25">
      <c r="C17" s="32" t="s">
        <v>7</v>
      </c>
      <c r="D17" s="33"/>
      <c r="E17" s="16">
        <f>SUM(E18:E28)</f>
        <v>730944</v>
      </c>
      <c r="F17" s="17"/>
    </row>
    <row r="18" spans="3:6" ht="39.6" customHeight="1" x14ac:dyDescent="0.25">
      <c r="C18" s="4"/>
      <c r="D18" s="7" t="s">
        <v>8</v>
      </c>
      <c r="E18" s="18">
        <f>35000*14</f>
        <v>490000</v>
      </c>
      <c r="F18" s="17" t="s">
        <v>56</v>
      </c>
    </row>
    <row r="19" spans="3:6" ht="17.25" x14ac:dyDescent="0.25">
      <c r="C19" s="4"/>
      <c r="D19" s="7" t="s">
        <v>9</v>
      </c>
      <c r="E19" s="24">
        <f>2178*12</f>
        <v>26136</v>
      </c>
      <c r="F19" s="25" t="s">
        <v>51</v>
      </c>
    </row>
    <row r="20" spans="3:6" ht="17.25" x14ac:dyDescent="0.25">
      <c r="C20" s="4"/>
      <c r="D20" s="7" t="s">
        <v>10</v>
      </c>
      <c r="E20" s="24">
        <v>5000</v>
      </c>
      <c r="F20" s="26"/>
    </row>
    <row r="21" spans="3:6" ht="17.25" x14ac:dyDescent="0.25">
      <c r="C21" s="4"/>
      <c r="D21" s="7" t="s">
        <v>11</v>
      </c>
      <c r="E21" s="24">
        <v>12000</v>
      </c>
      <c r="F21" s="25" t="s">
        <v>12</v>
      </c>
    </row>
    <row r="22" spans="3:6" ht="17.25" x14ac:dyDescent="0.25">
      <c r="C22" s="4"/>
      <c r="D22" s="7" t="s">
        <v>13</v>
      </c>
      <c r="E22" s="24">
        <v>24000</v>
      </c>
      <c r="F22" s="25" t="s">
        <v>14</v>
      </c>
    </row>
    <row r="23" spans="3:6" ht="17.25" x14ac:dyDescent="0.25">
      <c r="C23" s="4"/>
      <c r="D23" s="7" t="s">
        <v>46</v>
      </c>
      <c r="E23" s="24">
        <f>3227*12</f>
        <v>38724</v>
      </c>
      <c r="F23" s="25" t="s">
        <v>57</v>
      </c>
    </row>
    <row r="24" spans="3:6" ht="17.25" x14ac:dyDescent="0.25">
      <c r="C24" s="4"/>
      <c r="D24" s="7" t="s">
        <v>47</v>
      </c>
      <c r="E24" s="24">
        <f>1757*12</f>
        <v>21084</v>
      </c>
      <c r="F24" s="25" t="s">
        <v>52</v>
      </c>
    </row>
    <row r="25" spans="3:6" ht="17.25" x14ac:dyDescent="0.25">
      <c r="C25" s="4"/>
      <c r="D25" s="7" t="s">
        <v>15</v>
      </c>
      <c r="E25" s="24">
        <v>0</v>
      </c>
      <c r="F25" s="25"/>
    </row>
    <row r="26" spans="3:6" ht="34.5" x14ac:dyDescent="0.25">
      <c r="C26" s="4"/>
      <c r="D26" s="7" t="s">
        <v>16</v>
      </c>
      <c r="E26" s="18">
        <v>70000</v>
      </c>
      <c r="F26" s="3" t="s">
        <v>68</v>
      </c>
    </row>
    <row r="27" spans="3:6" ht="17.25" x14ac:dyDescent="0.25">
      <c r="C27" s="4"/>
      <c r="D27" s="7" t="s">
        <v>17</v>
      </c>
      <c r="E27" s="18">
        <v>20000</v>
      </c>
      <c r="F27" s="3"/>
    </row>
    <row r="28" spans="3:6" ht="17.25" x14ac:dyDescent="0.25">
      <c r="C28" s="4"/>
      <c r="D28" s="7" t="s">
        <v>18</v>
      </c>
      <c r="E28" s="18">
        <v>24000</v>
      </c>
      <c r="F28" s="3" t="s">
        <v>64</v>
      </c>
    </row>
    <row r="29" spans="3:6" ht="17.25" x14ac:dyDescent="0.25">
      <c r="C29" s="32" t="s">
        <v>19</v>
      </c>
      <c r="D29" s="33"/>
      <c r="E29" s="16">
        <f>SUM(E30:E32)</f>
        <v>44000</v>
      </c>
      <c r="F29" s="3"/>
    </row>
    <row r="30" spans="3:6" ht="34.5" x14ac:dyDescent="0.25">
      <c r="C30" s="4"/>
      <c r="D30" s="7" t="s">
        <v>20</v>
      </c>
      <c r="E30" s="18">
        <v>26000</v>
      </c>
      <c r="F30" s="22" t="s">
        <v>60</v>
      </c>
    </row>
    <row r="31" spans="3:6" ht="17.25" x14ac:dyDescent="0.25">
      <c r="C31" s="4"/>
      <c r="D31" s="7" t="s">
        <v>21</v>
      </c>
      <c r="E31" s="18">
        <v>8000</v>
      </c>
      <c r="F31" s="3"/>
    </row>
    <row r="32" spans="3:6" ht="17.25" x14ac:dyDescent="0.25">
      <c r="C32" s="4"/>
      <c r="D32" s="7" t="s">
        <v>48</v>
      </c>
      <c r="E32" s="18">
        <v>10000</v>
      </c>
      <c r="F32" s="3"/>
    </row>
    <row r="33" spans="3:6" ht="17.25" x14ac:dyDescent="0.25">
      <c r="C33" s="32" t="s">
        <v>22</v>
      </c>
      <c r="D33" s="33"/>
      <c r="E33" s="16">
        <f>SUM(E34:E39)</f>
        <v>1014500</v>
      </c>
      <c r="F33" s="16"/>
    </row>
    <row r="34" spans="3:6" ht="60" customHeight="1" x14ac:dyDescent="0.25">
      <c r="C34" s="4"/>
      <c r="D34" s="7" t="s">
        <v>23</v>
      </c>
      <c r="E34" s="18">
        <v>60000</v>
      </c>
      <c r="F34" s="3" t="s">
        <v>54</v>
      </c>
    </row>
    <row r="35" spans="3:6" ht="17.25" x14ac:dyDescent="0.25">
      <c r="C35" s="4"/>
      <c r="D35" s="7" t="s">
        <v>24</v>
      </c>
      <c r="E35" s="19">
        <v>0</v>
      </c>
      <c r="F35" s="3"/>
    </row>
    <row r="36" spans="3:6" ht="60" customHeight="1" x14ac:dyDescent="0.25">
      <c r="C36" s="4"/>
      <c r="D36" s="7" t="s">
        <v>25</v>
      </c>
      <c r="E36" s="18">
        <v>20500</v>
      </c>
      <c r="F36" s="3" t="s">
        <v>66</v>
      </c>
    </row>
    <row r="37" spans="3:6" ht="17.25" x14ac:dyDescent="0.25">
      <c r="C37" s="4"/>
      <c r="D37" s="7" t="s">
        <v>26</v>
      </c>
      <c r="E37" s="18">
        <v>864000</v>
      </c>
      <c r="F37" s="3" t="s">
        <v>45</v>
      </c>
    </row>
    <row r="38" spans="3:6" ht="17.25" x14ac:dyDescent="0.25">
      <c r="C38" s="4"/>
      <c r="D38" s="7" t="s">
        <v>27</v>
      </c>
      <c r="E38" s="20">
        <v>40000</v>
      </c>
      <c r="F38" s="22" t="s">
        <v>55</v>
      </c>
    </row>
    <row r="39" spans="3:6" ht="17.25" x14ac:dyDescent="0.25">
      <c r="C39" s="4"/>
      <c r="D39" s="7" t="s">
        <v>28</v>
      </c>
      <c r="E39" s="18">
        <v>30000</v>
      </c>
      <c r="F39" s="3"/>
    </row>
    <row r="40" spans="3:6" ht="17.25" x14ac:dyDescent="0.25">
      <c r="C40" s="32" t="s">
        <v>29</v>
      </c>
      <c r="D40" s="33"/>
      <c r="E40" s="27">
        <f>SUM(E41:E45)</f>
        <v>507000</v>
      </c>
      <c r="F40" s="28"/>
    </row>
    <row r="41" spans="3:6" ht="129.6" customHeight="1" x14ac:dyDescent="0.25">
      <c r="C41" s="4"/>
      <c r="D41" s="7" t="s">
        <v>30</v>
      </c>
      <c r="E41" s="20">
        <f>40000+80000+50000+150000+100000</f>
        <v>420000</v>
      </c>
      <c r="F41" s="22" t="s">
        <v>71</v>
      </c>
    </row>
    <row r="42" spans="3:6" ht="17.25" x14ac:dyDescent="0.25">
      <c r="C42" s="4"/>
      <c r="D42" s="7" t="s">
        <v>31</v>
      </c>
      <c r="E42" s="18">
        <v>19000</v>
      </c>
      <c r="F42" s="22" t="s">
        <v>59</v>
      </c>
    </row>
    <row r="43" spans="3:6" ht="17.25" x14ac:dyDescent="0.25">
      <c r="C43" s="4"/>
      <c r="D43" s="7" t="s">
        <v>32</v>
      </c>
      <c r="E43" s="18">
        <v>20000</v>
      </c>
      <c r="F43" s="3"/>
    </row>
    <row r="44" spans="3:6" ht="17.25" x14ac:dyDescent="0.25">
      <c r="C44" s="4"/>
      <c r="D44" s="7" t="s">
        <v>41</v>
      </c>
      <c r="E44" s="18">
        <v>18000</v>
      </c>
      <c r="F44" s="3"/>
    </row>
    <row r="45" spans="3:6" ht="17.25" x14ac:dyDescent="0.25">
      <c r="C45" s="4"/>
      <c r="D45" s="7" t="s">
        <v>69</v>
      </c>
      <c r="E45" s="18">
        <v>30000</v>
      </c>
      <c r="F45" s="3"/>
    </row>
    <row r="46" spans="3:6" ht="17.25" x14ac:dyDescent="0.25">
      <c r="C46" s="32" t="s">
        <v>33</v>
      </c>
      <c r="D46" s="33"/>
      <c r="E46" s="16">
        <f>E47</f>
        <v>136600</v>
      </c>
      <c r="F46" s="3"/>
    </row>
    <row r="47" spans="3:6" ht="97.15" customHeight="1" x14ac:dyDescent="0.25">
      <c r="C47" s="4"/>
      <c r="D47" s="7" t="s">
        <v>34</v>
      </c>
      <c r="E47" s="18">
        <f>141600-5000</f>
        <v>136600</v>
      </c>
      <c r="F47" s="22" t="s">
        <v>49</v>
      </c>
    </row>
    <row r="48" spans="3:6" ht="17.25" x14ac:dyDescent="0.25">
      <c r="C48" s="32" t="s">
        <v>35</v>
      </c>
      <c r="D48" s="33"/>
      <c r="E48" s="16">
        <v>15000</v>
      </c>
      <c r="F48" s="3"/>
    </row>
    <row r="49" spans="3:8" ht="17.25" x14ac:dyDescent="0.25">
      <c r="C49" s="32" t="s">
        <v>50</v>
      </c>
      <c r="D49" s="33"/>
      <c r="E49" s="16">
        <v>20000</v>
      </c>
      <c r="F49" s="3"/>
    </row>
    <row r="50" spans="3:8" ht="17.25" x14ac:dyDescent="0.25">
      <c r="C50" s="32" t="s">
        <v>36</v>
      </c>
      <c r="D50" s="33"/>
      <c r="E50" s="16">
        <v>40000</v>
      </c>
      <c r="F50" s="3"/>
    </row>
    <row r="51" spans="3:8" ht="17.25" x14ac:dyDescent="0.25">
      <c r="C51" s="32" t="s">
        <v>37</v>
      </c>
      <c r="D51" s="33"/>
      <c r="E51" s="16">
        <v>0</v>
      </c>
      <c r="F51" s="3"/>
      <c r="H51" s="23"/>
    </row>
    <row r="52" spans="3:8" ht="18" customHeight="1" x14ac:dyDescent="0.25">
      <c r="C52" s="34" t="s">
        <v>5</v>
      </c>
      <c r="D52" s="35"/>
      <c r="E52" s="16">
        <f>E17+E29+E33+E40+E46+E48+E49+E50+E51</f>
        <v>2508044</v>
      </c>
      <c r="F52" s="6"/>
    </row>
    <row r="54" spans="3:8" x14ac:dyDescent="0.25">
      <c r="E54" s="23"/>
      <c r="F54" s="23"/>
    </row>
    <row r="55" spans="3:8" ht="20.25" x14ac:dyDescent="0.25">
      <c r="D55" s="29"/>
    </row>
    <row r="56" spans="3:8" ht="20.25" x14ac:dyDescent="0.25">
      <c r="D56" s="21"/>
    </row>
    <row r="57" spans="3:8" ht="20.25" x14ac:dyDescent="0.25">
      <c r="D57" s="21"/>
    </row>
    <row r="58" spans="3:8" ht="20.25" x14ac:dyDescent="0.25">
      <c r="D58" s="21"/>
    </row>
  </sheetData>
  <mergeCells count="19">
    <mergeCell ref="D2:F2"/>
    <mergeCell ref="C46:D46"/>
    <mergeCell ref="C48:D48"/>
    <mergeCell ref="C49:D49"/>
    <mergeCell ref="C50:D50"/>
    <mergeCell ref="C4:D4"/>
    <mergeCell ref="C8:D8"/>
    <mergeCell ref="C9:D9"/>
    <mergeCell ref="C51:D51"/>
    <mergeCell ref="C52:D52"/>
    <mergeCell ref="C10:D10"/>
    <mergeCell ref="C11:D11"/>
    <mergeCell ref="C17:D17"/>
    <mergeCell ref="C29:D29"/>
    <mergeCell ref="C33:D33"/>
    <mergeCell ref="C40:D40"/>
    <mergeCell ref="C13:D13"/>
    <mergeCell ref="D15:F15"/>
    <mergeCell ref="C12:D12"/>
  </mergeCells>
  <phoneticPr fontId="7" type="noConversion"/>
  <printOptions horizontalCentered="1"/>
  <pageMargins left="0.11811023622047245" right="0.11811023622047245" top="0.55118110236220474" bottom="0.55118110236220474" header="0.31496062992125984" footer="0.31496062992125984"/>
  <pageSetup paperSize="9" fitToHeight="0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工作表1</vt:lpstr>
      <vt:lpstr>工作表2</vt:lpstr>
      <vt:lpstr>工作表3</vt:lpstr>
      <vt:lpstr>工作表1!_Toc37421289</vt:lpstr>
      <vt:lpstr>工作表1!_Toc37421293</vt:lpstr>
      <vt:lpstr>工作表1!_Toc37421294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Yi Chen Chung</cp:lastModifiedBy>
  <cp:lastPrinted>2026-06-09T02:44:39Z</cp:lastPrinted>
  <dcterms:created xsi:type="dcterms:W3CDTF">2020-05-26T02:57:30Z</dcterms:created>
  <dcterms:modified xsi:type="dcterms:W3CDTF">2026-07-11T07:43:14Z</dcterms:modified>
</cp:coreProperties>
</file>